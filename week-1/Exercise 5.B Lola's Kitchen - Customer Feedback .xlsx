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nuriscampusano\Documents\DataAnalytics\week-1\"/>
    </mc:Choice>
  </mc:AlternateContent>
  <xr:revisionPtr revIDLastSave="0" documentId="13_ncr:1_{47201FC4-80B0-439E-92E8-A2D81361A1C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3" sheetId="3" r:id="rId1"/>
    <sheet name="Sheet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D18" i="1"/>
  <c r="D17" i="1"/>
  <c r="I8" i="1"/>
  <c r="D16" i="1"/>
  <c r="D8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<sst xmlns="http://schemas.openxmlformats.org/spreadsheetml/2006/main" count="73" uniqueCount="37">
  <si>
    <t>ID</t>
  </si>
  <si>
    <t>Start time</t>
  </si>
  <si>
    <t>Completion time</t>
  </si>
  <si>
    <t>Email</t>
  </si>
  <si>
    <t>Name</t>
  </si>
  <si>
    <t>Last modified time</t>
  </si>
  <si>
    <t>How often do you visit Lola's kitchen? </t>
  </si>
  <si>
    <t>How would you rate your overall experience today?</t>
  </si>
  <si>
    <t>Food Quality</t>
  </si>
  <si>
    <t>Speed Of Service</t>
  </si>
  <si>
    <t>Friendliness Of Staff</t>
  </si>
  <si>
    <t>How likely are you to recommend Lola's Kitchen to a friend or colleague?</t>
  </si>
  <si>
    <t>What type of reward would most motivate you to visit more often?</t>
  </si>
  <si>
    <t>Would you prefer a digital or physical rewards card ?</t>
  </si>
  <si>
    <t>Is there anything we could improve or that you would like to see on the menu?</t>
  </si>
  <si>
    <t>anonymous</t>
  </si>
  <si>
    <t>Weekly</t>
  </si>
  <si>
    <t>Satisfied</t>
  </si>
  <si>
    <t>Very Satisfied</t>
  </si>
  <si>
    <t>Discount on my total bill</t>
  </si>
  <si>
    <t>Digital (On My Phone)</t>
  </si>
  <si>
    <t>I would like more alcoholic beverage options.</t>
  </si>
  <si>
    <t>Monthly</t>
  </si>
  <si>
    <t>Physical Stamp Card </t>
  </si>
  <si>
    <t>Add new items with deals</t>
  </si>
  <si>
    <t>This Is My First Visit</t>
  </si>
  <si>
    <t>Food quality was great. Service speed could be improved especially during rush hours.</t>
  </si>
  <si>
    <t>Early access to new menu items</t>
  </si>
  <si>
    <t xml:space="preserve">I have no comments so far. </t>
  </si>
  <si>
    <t>Birthday reward or special treat </t>
  </si>
  <si>
    <t xml:space="preserve">The wait time </t>
  </si>
  <si>
    <t>speed of service</t>
  </si>
  <si>
    <t>Time to complete</t>
  </si>
  <si>
    <t>Month</t>
  </si>
  <si>
    <t>Row Labels</t>
  </si>
  <si>
    <t>Grand Total</t>
  </si>
  <si>
    <t>Sum of How would you rate your overall experience today?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</si>
</sst>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45" fontId="1" fillId="0" borderId="0" xfId="0" applyNumberFormat="1" applyFon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[Exercise 5.B Lola's Kitchen - Customer Feedback 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Sheet3!$A$2:$A$5</c:f>
              <c:strCache>
                <c:ptCount val="3"/>
                <c:pt idx="0">
                  <c:v>Monthly</c:v>
                </c:pt>
                <c:pt idx="1">
                  <c:v>This Is My First Visit</c:v>
                </c:pt>
                <c:pt idx="2">
                  <c:v>Weekly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4</c:v>
                </c:pt>
                <c:pt idx="1">
                  <c:v>19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72-469A-927A-CC83E5D8CD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177800</xdr:rowOff>
    </xdr:from>
    <xdr:to>
      <xdr:col>11</xdr:col>
      <xdr:colOff>285750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0713F-08FD-278D-E829-7B5323E6B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uris campusano" refreshedDate="46124.894026620372" createdVersion="8" refreshedVersion="8" minRefreshableVersion="3" recordCount="7" xr:uid="{B1922ACB-6A9C-465F-B8AA-9CFADCCF47B7}">
  <cacheSource type="worksheet">
    <worksheetSource name="Table1"/>
  </cacheSource>
  <cacheFields count="19">
    <cacheField name="ID" numFmtId="0">
      <sharedItems containsString="0" containsBlank="1" containsNumber="1" containsInteger="1" minValue="1" maxValue="6"/>
    </cacheField>
    <cacheField name="Start time" numFmtId="165">
      <sharedItems containsNonDate="0" containsDate="1" containsString="0" containsBlank="1" minDate="2026-04-09T08:42:27" maxDate="2026-04-12T07:30:59"/>
    </cacheField>
    <cacheField name="Completion time" numFmtId="165">
      <sharedItems containsNonDate="0" containsDate="1" containsString="0" containsBlank="1" minDate="2026-04-09T08:43:07" maxDate="2026-04-12T07:31:47"/>
    </cacheField>
    <cacheField name="Time to complete" numFmtId="45">
      <sharedItems containsSemiMixedTypes="0" containsNonDate="0" containsDate="1" containsString="0" minDate="1899-12-30T00:00:38" maxDate="1899-12-30T00:04:12" count="6">
        <d v="1899-12-30T00:00:40"/>
        <d v="1899-12-30T00:02:46"/>
        <d v="1899-12-30T00:01:49"/>
        <d v="1899-12-30T00:04:12"/>
        <d v="1899-12-30T00:00:38"/>
        <d v="1899-12-30T00:00:48"/>
      </sharedItems>
      <fieldGroup par="18"/>
    </cacheField>
    <cacheField name="Email" numFmtId="0">
      <sharedItems containsBlank="1" count="2">
        <s v="anonymous"/>
        <m/>
      </sharedItems>
    </cacheField>
    <cacheField name="Name" numFmtId="0">
      <sharedItems containsNonDate="0" containsString="0" containsBlank="1" count="1">
        <m/>
      </sharedItems>
    </cacheField>
    <cacheField name="Last modified time" numFmtId="164">
      <sharedItems containsNonDate="0" containsString="0" containsBlank="1"/>
    </cacheField>
    <cacheField name="How often do you visit Lola's kitchen? " numFmtId="0">
      <sharedItems containsBlank="1" count="4">
        <s v="Weekly"/>
        <s v="Monthly"/>
        <s v="This Is My First Visit"/>
        <m/>
      </sharedItems>
    </cacheField>
    <cacheField name="How would you rate your overall experience today?" numFmtId="0">
      <sharedItems containsSemiMixedTypes="0" containsString="0" containsNumber="1" minValue="4" maxValue="5" count="3">
        <n v="4"/>
        <n v="5"/>
        <n v="4.5"/>
      </sharedItems>
    </cacheField>
    <cacheField name="Food Quality" numFmtId="0">
      <sharedItems containsBlank="1" count="3">
        <s v="Satisfied"/>
        <s v="Very Satisfied"/>
        <m/>
      </sharedItems>
    </cacheField>
    <cacheField name="Speed Of Service" numFmtId="0">
      <sharedItems containsMixedTypes="1" containsNumber="1" containsInteger="1" minValue="1" maxValue="1"/>
    </cacheField>
    <cacheField name="Friendliness Of Staff" numFmtId="0">
      <sharedItems containsBlank="1" count="2">
        <s v="Very Satisfied"/>
        <m/>
      </sharedItems>
    </cacheField>
    <cacheField name="How likely are you to recommend Lola's Kitchen to a friend or colleague?" numFmtId="0">
      <sharedItems containsString="0" containsBlank="1" containsNumber="1" containsInteger="1" minValue="4" maxValue="5" count="3">
        <n v="4"/>
        <n v="5"/>
        <m/>
      </sharedItems>
    </cacheField>
    <cacheField name="What type of reward would most motivate you to visit more often?" numFmtId="0">
      <sharedItems containsBlank="1"/>
    </cacheField>
    <cacheField name="Would you prefer a digital or physical rewards card ?" numFmtId="0">
      <sharedItems containsBlank="1" count="3">
        <s v="Digital (On My Phone)"/>
        <s v="Physical Stamp Card "/>
        <m/>
      </sharedItems>
    </cacheField>
    <cacheField name="Is there anything we could improve or that you would like to see on the menu?" numFmtId="0">
      <sharedItems containsBlank="1"/>
    </cacheField>
    <cacheField name="Seconds (Time to complete)" numFmtId="0" databaseField="0">
      <fieldGroup base="3">
        <rangePr groupBy="seconds" startDate="1899-12-30T00:00:38" endDate="1899-12-30T00:04:1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Time to complete)" numFmtId="0" databaseField="0">
      <fieldGroup base="3">
        <rangePr groupBy="minutes" startDate="1899-12-30T00:00:38" endDate="1899-12-30T00:04:1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 to complete)" numFmtId="0" databaseField="0">
      <fieldGroup base="3">
        <rangePr groupBy="hours" startDate="1899-12-30T00:00:38" endDate="1899-12-30T00:04:12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d v="2026-04-09T08:42:27"/>
    <d v="2026-04-09T08:43:07"/>
    <x v="0"/>
    <x v="0"/>
    <x v="0"/>
    <m/>
    <x v="0"/>
    <x v="0"/>
    <x v="0"/>
    <s v="Very Satisfied"/>
    <x v="0"/>
    <x v="0"/>
    <s v="Discount on my total bill"/>
    <x v="0"/>
    <s v="I would like more alcoholic beverage options."/>
  </r>
  <r>
    <n v="2"/>
    <d v="2026-04-09T09:31:46"/>
    <d v="2026-04-09T09:34:32"/>
    <x v="1"/>
    <x v="0"/>
    <x v="0"/>
    <m/>
    <x v="1"/>
    <x v="0"/>
    <x v="1"/>
    <s v="Satisfied"/>
    <x v="0"/>
    <x v="1"/>
    <s v="Discount on my total bill"/>
    <x v="1"/>
    <s v="Add new items with deals"/>
  </r>
  <r>
    <n v="3"/>
    <d v="2026-04-09T09:51:48"/>
    <d v="2026-04-09T09:53:37"/>
    <x v="2"/>
    <x v="0"/>
    <x v="0"/>
    <m/>
    <x v="2"/>
    <x v="1"/>
    <x v="1"/>
    <s v="Satisfied"/>
    <x v="0"/>
    <x v="1"/>
    <s v="Discount on my total bill"/>
    <x v="0"/>
    <s v="Food quality was great. Service speed could be improved especially during rush hours."/>
  </r>
  <r>
    <n v="4"/>
    <d v="2026-04-09T11:46:05"/>
    <d v="2026-04-09T11:50:17"/>
    <x v="3"/>
    <x v="0"/>
    <x v="0"/>
    <m/>
    <x v="2"/>
    <x v="1"/>
    <x v="1"/>
    <s v="Very Satisfied"/>
    <x v="0"/>
    <x v="1"/>
    <s v="Early access to new menu items"/>
    <x v="0"/>
    <s v="I have no comments so far. "/>
  </r>
  <r>
    <n v="5"/>
    <d v="2026-04-10T01:06:42"/>
    <d v="2026-04-10T01:07:20"/>
    <x v="4"/>
    <x v="0"/>
    <x v="0"/>
    <m/>
    <x v="2"/>
    <x v="1"/>
    <x v="1"/>
    <s v="Very Satisfied"/>
    <x v="0"/>
    <x v="1"/>
    <s v="Birthday reward or special treat "/>
    <x v="0"/>
    <s v="The wait time "/>
  </r>
  <r>
    <n v="6"/>
    <d v="2026-04-12T07:30:59"/>
    <d v="2026-04-12T07:31:47"/>
    <x v="5"/>
    <x v="0"/>
    <x v="0"/>
    <m/>
    <x v="2"/>
    <x v="0"/>
    <x v="1"/>
    <s v="Satisfied"/>
    <x v="0"/>
    <x v="1"/>
    <s v="Discount on my total bill"/>
    <x v="0"/>
    <s v="speed of service"/>
  </r>
  <r>
    <m/>
    <m/>
    <m/>
    <x v="2"/>
    <x v="1"/>
    <x v="0"/>
    <m/>
    <x v="3"/>
    <x v="2"/>
    <x v="2"/>
    <n v="1"/>
    <x v="1"/>
    <x v="2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ABD87-8AD0-4DA5-BB0F-F7375C37BFEC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1:B5" firstHeaderRow="1" firstDataRow="1" firstDataCol="1"/>
  <pivotFields count="19">
    <pivotField showAll="0"/>
    <pivotField showAll="0"/>
    <pivotField showAll="0"/>
    <pivotField numFmtId="45" showAll="0">
      <items count="7">
        <item x="4"/>
        <item x="0"/>
        <item x="5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axis="axisRow" showAll="0">
      <items count="5">
        <item x="1"/>
        <item x="2"/>
        <item x="0"/>
        <item h="1" x="3"/>
        <item t="default"/>
      </items>
    </pivotField>
    <pivotField dataField="1"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How would you rate your overall experience today?" fld="8" baseField="0" baseItem="0"/>
  </dataFields>
  <chartFormats count="1"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8" totalsRowShown="0">
  <autoFilter ref="A1:P8" xr:uid="{00000000-0009-0000-0100-000001000000}"/>
  <tableColumns count="16">
    <tableColumn id="1" xr3:uid="{00000000-0010-0000-0000-000001000000}" name="ID" dataDxfId="15"/>
    <tableColumn id="2" xr3:uid="{00000000-0010-0000-0000-000002000000}" name="Start time" dataDxfId="14"/>
    <tableColumn id="3" xr3:uid="{00000000-0010-0000-0000-000003000000}" name="Completion time" dataDxfId="13"/>
    <tableColumn id="16" xr3:uid="{233A15A9-1E46-4B53-9B4E-D9435E63FEAC}" name="Time to complete" dataDxfId="12">
      <calculatedColumnFormula>C2-B2</calculatedColumnFormula>
    </tableColumn>
    <tableColumn id="4" xr3:uid="{00000000-0010-0000-0000-000004000000}" name="Email" dataDxfId="11"/>
    <tableColumn id="5" xr3:uid="{00000000-0010-0000-0000-000005000000}" name="Name" dataDxfId="10"/>
    <tableColumn id="6" xr3:uid="{00000000-0010-0000-0000-000006000000}" name="Last modified time" dataDxfId="9"/>
    <tableColumn id="7" xr3:uid="{00000000-0010-0000-0000-000007000000}" name="How often do you visit Lola's kitchen? " dataDxfId="8"/>
    <tableColumn id="8" xr3:uid="{00000000-0010-0000-0000-000008000000}" name="How would you rate your overall experience today?" dataDxfId="7"/>
    <tableColumn id="9" xr3:uid="{00000000-0010-0000-0000-000009000000}" name="Food Quality" dataDxfId="6"/>
    <tableColumn id="10" xr3:uid="{00000000-0010-0000-0000-00000A000000}" name="Speed Of Service" dataDxfId="5"/>
    <tableColumn id="11" xr3:uid="{00000000-0010-0000-0000-00000B000000}" name="Friendliness Of Staff" dataDxfId="4"/>
    <tableColumn id="12" xr3:uid="{00000000-0010-0000-0000-00000C000000}" name="How likely are you to recommend Lola's Kitchen to a friend or colleague?" dataDxfId="3"/>
    <tableColumn id="13" xr3:uid="{00000000-0010-0000-0000-00000D000000}" name="What type of reward would most motivate you to visit more often?" dataDxfId="2"/>
    <tableColumn id="14" xr3:uid="{00000000-0010-0000-0000-00000E000000}" name="Would you prefer a digital or physical rewards card ?" dataDxfId="1"/>
    <tableColumn id="15" xr3:uid="{00000000-0010-0000-0000-00000F000000}" name="Is there anything we could improve or that you would like to see on the menu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A2F2-A0FF-4A50-8BC3-45E9060A7F8B}">
  <dimension ref="A1:B5"/>
  <sheetViews>
    <sheetView tabSelected="1" topLeftCell="C1" workbookViewId="0">
      <selection activeCell="I21" sqref="I21"/>
    </sheetView>
  </sheetViews>
  <sheetFormatPr defaultRowHeight="14.5" x14ac:dyDescent="0.35"/>
  <cols>
    <col min="1" max="1" width="17.1796875" bestFit="1" customWidth="1"/>
    <col min="2" max="2" width="51" bestFit="1" customWidth="1"/>
    <col min="3" max="3" width="68.90625" bestFit="1" customWidth="1"/>
  </cols>
  <sheetData>
    <row r="1" spans="1:2" x14ac:dyDescent="0.35">
      <c r="A1" s="5" t="s">
        <v>34</v>
      </c>
      <c r="B1" t="s">
        <v>36</v>
      </c>
    </row>
    <row r="2" spans="1:2" x14ac:dyDescent="0.35">
      <c r="A2" s="6" t="s">
        <v>22</v>
      </c>
      <c r="B2" s="9">
        <v>4</v>
      </c>
    </row>
    <row r="3" spans="1:2" x14ac:dyDescent="0.35">
      <c r="A3" s="6" t="s">
        <v>25</v>
      </c>
      <c r="B3" s="9">
        <v>19</v>
      </c>
    </row>
    <row r="4" spans="1:2" x14ac:dyDescent="0.35">
      <c r="A4" s="6" t="s">
        <v>16</v>
      </c>
      <c r="B4" s="9">
        <v>4</v>
      </c>
    </row>
    <row r="5" spans="1:2" x14ac:dyDescent="0.35">
      <c r="A5" s="6" t="s">
        <v>35</v>
      </c>
      <c r="B5" s="9">
        <v>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opLeftCell="H1" workbookViewId="0">
      <selection activeCell="G23" sqref="G23"/>
    </sheetView>
  </sheetViews>
  <sheetFormatPr defaultRowHeight="14.5" x14ac:dyDescent="0.35"/>
  <cols>
    <col min="1" max="1" width="20" bestFit="1" customWidth="1"/>
    <col min="2" max="3" width="20" style="2" bestFit="1" customWidth="1"/>
    <col min="4" max="4" width="20" style="2" customWidth="1"/>
    <col min="5" max="7" width="20" bestFit="1" customWidth="1"/>
    <col min="8" max="8" width="35.453125" bestFit="1" customWidth="1"/>
    <col min="9" max="13" width="20" bestFit="1" customWidth="1"/>
    <col min="14" max="14" width="60.453125" bestFit="1" customWidth="1"/>
    <col min="15" max="15" width="47.6328125" bestFit="1" customWidth="1"/>
    <col min="16" max="16" width="73.453125" bestFit="1" customWidth="1"/>
  </cols>
  <sheetData>
    <row r="1" spans="1:16" x14ac:dyDescent="0.35">
      <c r="A1" t="s">
        <v>0</v>
      </c>
      <c r="B1" s="2" t="s">
        <v>1</v>
      </c>
      <c r="C1" s="2" t="s">
        <v>2</v>
      </c>
      <c r="D1" s="2" t="s">
        <v>32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t="15.5" x14ac:dyDescent="0.35">
      <c r="A2">
        <v>1</v>
      </c>
      <c r="B2" s="2">
        <v>46121.362812500003</v>
      </c>
      <c r="C2" s="2">
        <v>46121.363275463002</v>
      </c>
      <c r="D2" s="3">
        <f t="shared" ref="D2:D7" si="0">C2-B2</f>
        <v>4.6296299842651933E-4</v>
      </c>
      <c r="E2" t="s">
        <v>15</v>
      </c>
      <c r="G2" s="1"/>
      <c r="H2" t="s">
        <v>16</v>
      </c>
      <c r="I2">
        <v>4</v>
      </c>
      <c r="J2" t="s">
        <v>17</v>
      </c>
      <c r="K2" t="s">
        <v>18</v>
      </c>
      <c r="L2" t="s">
        <v>18</v>
      </c>
      <c r="M2">
        <v>4</v>
      </c>
      <c r="N2" t="s">
        <v>19</v>
      </c>
      <c r="O2" t="s">
        <v>20</v>
      </c>
      <c r="P2" t="s">
        <v>21</v>
      </c>
    </row>
    <row r="3" spans="1:16" ht="15.5" x14ac:dyDescent="0.35">
      <c r="A3">
        <v>2</v>
      </c>
      <c r="B3" s="2">
        <v>46121.397060185198</v>
      </c>
      <c r="C3" s="2">
        <v>46121.3989814815</v>
      </c>
      <c r="D3" s="3">
        <f t="shared" si="0"/>
        <v>1.9212963015888818E-3</v>
      </c>
      <c r="E3" t="s">
        <v>15</v>
      </c>
      <c r="G3" s="1"/>
      <c r="H3" t="s">
        <v>22</v>
      </c>
      <c r="I3">
        <v>4</v>
      </c>
      <c r="J3" t="s">
        <v>18</v>
      </c>
      <c r="K3" t="s">
        <v>17</v>
      </c>
      <c r="L3" t="s">
        <v>18</v>
      </c>
      <c r="M3">
        <v>5</v>
      </c>
      <c r="N3" t="s">
        <v>19</v>
      </c>
      <c r="O3" t="s">
        <v>23</v>
      </c>
      <c r="P3" t="s">
        <v>24</v>
      </c>
    </row>
    <row r="4" spans="1:16" ht="15.5" x14ac:dyDescent="0.35">
      <c r="A4">
        <v>3</v>
      </c>
      <c r="B4" s="2">
        <v>46121.410972222198</v>
      </c>
      <c r="C4" s="2">
        <v>46121.412233796298</v>
      </c>
      <c r="D4" s="3">
        <f t="shared" si="0"/>
        <v>1.2615740997716784E-3</v>
      </c>
      <c r="E4" t="s">
        <v>15</v>
      </c>
      <c r="G4" s="1"/>
      <c r="H4" t="s">
        <v>25</v>
      </c>
      <c r="I4">
        <v>5</v>
      </c>
      <c r="J4" t="s">
        <v>18</v>
      </c>
      <c r="K4" t="s">
        <v>17</v>
      </c>
      <c r="L4" t="s">
        <v>18</v>
      </c>
      <c r="M4">
        <v>5</v>
      </c>
      <c r="N4" t="s">
        <v>19</v>
      </c>
      <c r="O4" t="s">
        <v>20</v>
      </c>
      <c r="P4" t="s">
        <v>26</v>
      </c>
    </row>
    <row r="5" spans="1:16" ht="15.5" x14ac:dyDescent="0.35">
      <c r="A5">
        <v>4</v>
      </c>
      <c r="B5" s="2">
        <v>46121.490335648101</v>
      </c>
      <c r="C5" s="2">
        <v>46121.493252314802</v>
      </c>
      <c r="D5" s="3">
        <f t="shared" si="0"/>
        <v>2.9166667009121738E-3</v>
      </c>
      <c r="E5" t="s">
        <v>15</v>
      </c>
      <c r="G5" s="1"/>
      <c r="H5" t="s">
        <v>25</v>
      </c>
      <c r="I5">
        <v>5</v>
      </c>
      <c r="J5" t="s">
        <v>18</v>
      </c>
      <c r="K5" t="s">
        <v>18</v>
      </c>
      <c r="L5" t="s">
        <v>18</v>
      </c>
      <c r="M5">
        <v>5</v>
      </c>
      <c r="N5" t="s">
        <v>27</v>
      </c>
      <c r="O5" t="s">
        <v>20</v>
      </c>
      <c r="P5" t="s">
        <v>28</v>
      </c>
    </row>
    <row r="6" spans="1:16" ht="15.5" x14ac:dyDescent="0.35">
      <c r="A6">
        <v>5</v>
      </c>
      <c r="B6" s="2">
        <v>46122.046319444402</v>
      </c>
      <c r="C6" s="2">
        <v>46122.046759259298</v>
      </c>
      <c r="D6" s="3">
        <f t="shared" si="0"/>
        <v>4.3981489579891786E-4</v>
      </c>
      <c r="E6" t="s">
        <v>15</v>
      </c>
      <c r="G6" s="1"/>
      <c r="H6" t="s">
        <v>25</v>
      </c>
      <c r="I6">
        <v>5</v>
      </c>
      <c r="J6" t="s">
        <v>18</v>
      </c>
      <c r="K6" t="s">
        <v>18</v>
      </c>
      <c r="L6" t="s">
        <v>18</v>
      </c>
      <c r="M6">
        <v>5</v>
      </c>
      <c r="N6" t="s">
        <v>29</v>
      </c>
      <c r="O6" t="s">
        <v>20</v>
      </c>
      <c r="P6" t="s">
        <v>30</v>
      </c>
    </row>
    <row r="7" spans="1:16" ht="15.5" x14ac:dyDescent="0.35">
      <c r="A7">
        <v>6</v>
      </c>
      <c r="B7" s="2">
        <v>46124.313182870399</v>
      </c>
      <c r="C7" s="2">
        <v>46124.313738425903</v>
      </c>
      <c r="D7" s="3">
        <f t="shared" si="0"/>
        <v>5.5555550352437422E-4</v>
      </c>
      <c r="E7" t="s">
        <v>15</v>
      </c>
      <c r="G7" s="1"/>
      <c r="H7" t="s">
        <v>25</v>
      </c>
      <c r="I7">
        <v>4</v>
      </c>
      <c r="J7" t="s">
        <v>18</v>
      </c>
      <c r="K7" t="s">
        <v>17</v>
      </c>
      <c r="L7" t="s">
        <v>18</v>
      </c>
      <c r="M7">
        <v>5</v>
      </c>
      <c r="N7" t="s">
        <v>19</v>
      </c>
      <c r="O7" t="s">
        <v>20</v>
      </c>
      <c r="P7" t="s">
        <v>31</v>
      </c>
    </row>
    <row r="8" spans="1:16" x14ac:dyDescent="0.35">
      <c r="D8" s="4">
        <f>AVERAGE(D2:D7)</f>
        <v>1.2596450833370909E-3</v>
      </c>
      <c r="G8" s="1"/>
      <c r="I8">
        <f>AVERAGE(I2:I7)</f>
        <v>4.5</v>
      </c>
      <c r="K8">
        <f>AVERAGE(_xlfn.SWITCH("SATISFIED",0,"VERY SATISFIED","1"))</f>
        <v>1</v>
      </c>
    </row>
    <row r="16" spans="1:16" x14ac:dyDescent="0.35">
      <c r="C16" s="7" t="s">
        <v>16</v>
      </c>
      <c r="D16" s="7">
        <f>COUNTIF(H2:H7, "Weekly")</f>
        <v>1</v>
      </c>
      <c r="E16" s="7"/>
    </row>
    <row r="17" spans="3:5" x14ac:dyDescent="0.35">
      <c r="C17" s="7" t="s">
        <v>33</v>
      </c>
      <c r="D17" s="7">
        <f>COUNTIF(H2:H7,"Monthly")</f>
        <v>1</v>
      </c>
      <c r="E17" s="7"/>
    </row>
    <row r="18" spans="3:5" x14ac:dyDescent="0.35">
      <c r="C18" s="8" t="s">
        <v>25</v>
      </c>
      <c r="D18" s="7">
        <f>COUNTIF(H2:H7,"This Is My First Visit")</f>
        <v>4</v>
      </c>
      <c r="E18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yanuris campusano</cp:lastModifiedBy>
  <dcterms:created xsi:type="dcterms:W3CDTF">2026-04-12T23:56:03Z</dcterms:created>
  <dcterms:modified xsi:type="dcterms:W3CDTF">2026-04-14T16:00:50Z</dcterms:modified>
</cp:coreProperties>
</file>